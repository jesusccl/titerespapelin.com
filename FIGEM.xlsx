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4bc718c11513ef/Municipalidad/"/>
    </mc:Choice>
  </mc:AlternateContent>
  <xr:revisionPtr revIDLastSave="16" documentId="14_{5F3186E2-BCA4-4FA9-B0FA-889FDC9D6A73}" xr6:coauthVersionLast="47" xr6:coauthVersionMax="47" xr10:uidLastSave="{91523A37-614C-4616-B2BC-50151AD43316}"/>
  <bookViews>
    <workbookView xWindow="15" yWindow="2670" windowWidth="17655" windowHeight="12090" activeTab="1" xr2:uid="{3933F0DE-5A03-499A-93A8-AD7FB403716C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2" l="1"/>
  <c r="L13" i="2"/>
  <c r="L22" i="2" s="1"/>
  <c r="K13" i="2"/>
  <c r="J22" i="2"/>
  <c r="K22" i="2"/>
  <c r="D22" i="2"/>
  <c r="H14" i="2"/>
  <c r="E14" i="2" s="1"/>
  <c r="E22" i="2" s="1"/>
  <c r="I13" i="2"/>
  <c r="I22" i="2" s="1"/>
  <c r="F13" i="2"/>
  <c r="F22" i="2" s="1"/>
  <c r="H12" i="2"/>
  <c r="I11" i="2"/>
  <c r="H11" i="2"/>
  <c r="G9" i="2"/>
  <c r="G22" i="2" s="1"/>
  <c r="I13" i="1"/>
  <c r="I11" i="1"/>
  <c r="I21" i="1" s="1"/>
  <c r="H11" i="1"/>
  <c r="H12" i="1"/>
  <c r="H14" i="1"/>
  <c r="E14" i="1" s="1"/>
  <c r="E21" i="1" s="1"/>
  <c r="G9" i="1"/>
  <c r="G21" i="1" s="1"/>
  <c r="F13" i="1"/>
  <c r="D21" i="1"/>
  <c r="H21" i="1" l="1"/>
  <c r="H22" i="2"/>
  <c r="F24" i="2" s="1"/>
  <c r="F21" i="1"/>
  <c r="K21" i="1"/>
  <c r="F23" i="1" l="1"/>
</calcChain>
</file>

<file path=xl/sharedStrings.xml><?xml version="1.0" encoding="utf-8"?>
<sst xmlns="http://schemas.openxmlformats.org/spreadsheetml/2006/main" count="87" uniqueCount="40">
  <si>
    <t>Presupuestado</t>
  </si>
  <si>
    <t>215-31-01-002-279</t>
  </si>
  <si>
    <t>FIGEM-Estudios y Asesorias Básicos de Proyectos</t>
  </si>
  <si>
    <t>215-31-02-004-282</t>
  </si>
  <si>
    <t>FIGEM-Mejoramiento y construccion paraderos peatonales</t>
  </si>
  <si>
    <t>215-31-02-004-283</t>
  </si>
  <si>
    <t>FIGEM-Mejoramiento Edificación Ex-Internado de Puqueldón</t>
  </si>
  <si>
    <t>FIGEM-Interven.  De mantención espacios públicos</t>
  </si>
  <si>
    <t>215-31-02-004-284</t>
  </si>
  <si>
    <t>215-31-02-004-285</t>
  </si>
  <si>
    <t>FIGEM-Intervenciones operatividad diversos sistemas</t>
  </si>
  <si>
    <t>FIGEM-Rehabilitación de la estrucutra y entorno</t>
  </si>
  <si>
    <t>215-31-02-004-287</t>
  </si>
  <si>
    <t>215-31-02-004-289</t>
  </si>
  <si>
    <t>FIGEM-Habilitación oficinas edificio municipal</t>
  </si>
  <si>
    <t>215-31-02-004-291</t>
  </si>
  <si>
    <t>FIGEM-Obras Complem Proy. Conserv.</t>
  </si>
  <si>
    <t>Presupuesto TOTAL</t>
  </si>
  <si>
    <t>-</t>
  </si>
  <si>
    <t xml:space="preserve">FIGEM-Pavimentación Acceso costanera Ichuac </t>
  </si>
  <si>
    <t>215-31-02-004-295</t>
  </si>
  <si>
    <t>215-31-02-002-280</t>
  </si>
  <si>
    <t>SALDO POR RENDIR</t>
  </si>
  <si>
    <t>TOTALES</t>
  </si>
  <si>
    <t>215-29</t>
  </si>
  <si>
    <t>ACTIVOS</t>
  </si>
  <si>
    <t>215-31-02-004-229</t>
  </si>
  <si>
    <t>SALDO PMU-MULTICANCHA</t>
  </si>
  <si>
    <t>SALDO FIGEM</t>
  </si>
  <si>
    <t>FIGEM 2024</t>
  </si>
  <si>
    <t>TOTAL PAGADO 23-24</t>
  </si>
  <si>
    <t>FIGEM 2024 OCT-25</t>
  </si>
  <si>
    <t>FIGEM 2024 JUL-25</t>
  </si>
  <si>
    <t>FIGEM 2024 AGO-25</t>
  </si>
  <si>
    <t>FIGEM 2024 SEP-25</t>
  </si>
  <si>
    <t>Rendiciones HASTA EL 30-11-2025</t>
  </si>
  <si>
    <t xml:space="preserve"> </t>
  </si>
  <si>
    <t>FIGEM 2024 NOV-25</t>
  </si>
  <si>
    <t>FIGEM 2024 DIC-25</t>
  </si>
  <si>
    <t>FIGEM 2024 ENE-26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</si>
</sst>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41" fontId="2" fillId="0" borderId="0" xfId="1" applyFont="1"/>
    <xf numFmtId="41" fontId="5" fillId="0" borderId="0" xfId="1" applyFont="1"/>
    <xf numFmtId="0" fontId="5" fillId="0" borderId="0" xfId="0" applyFont="1"/>
    <xf numFmtId="41" fontId="3" fillId="0" borderId="0" xfId="0" applyNumberFormat="1" applyFont="1"/>
    <xf numFmtId="0" fontId="6" fillId="0" borderId="2" xfId="0" applyFont="1" applyBorder="1"/>
    <xf numFmtId="0" fontId="4" fillId="0" borderId="3" xfId="0" applyFont="1" applyBorder="1"/>
    <xf numFmtId="41" fontId="6" fillId="0" borderId="3" xfId="0" applyNumberFormat="1" applyFont="1" applyBorder="1"/>
    <xf numFmtId="0" fontId="2" fillId="0" borderId="1" xfId="0" applyFont="1" applyBorder="1"/>
    <xf numFmtId="41" fontId="2" fillId="0" borderId="1" xfId="1" applyFont="1" applyBorder="1"/>
    <xf numFmtId="41" fontId="7" fillId="0" borderId="1" xfId="1" applyFont="1" applyBorder="1"/>
    <xf numFmtId="41" fontId="2" fillId="0" borderId="1" xfId="0" applyNumberFormat="1" applyFont="1" applyBorder="1"/>
    <xf numFmtId="0" fontId="0" fillId="0" borderId="1" xfId="0" applyBorder="1"/>
    <xf numFmtId="0" fontId="2" fillId="0" borderId="4" xfId="0" applyFont="1" applyBorder="1"/>
    <xf numFmtId="0" fontId="0" fillId="0" borderId="5" xfId="0" applyBorder="1"/>
    <xf numFmtId="0" fontId="0" fillId="0" borderId="4" xfId="0" applyBorder="1"/>
    <xf numFmtId="41" fontId="0" fillId="0" borderId="0" xfId="0" applyNumberFormat="1"/>
    <xf numFmtId="41" fontId="8" fillId="0" borderId="1" xfId="1" applyFont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F3D7-2A8F-4D00-A994-06544377DC84}">
  <dimension ref="A1:K33"/>
  <sheetViews>
    <sheetView topLeftCell="C1" zoomScale="90" zoomScaleNormal="90" workbookViewId="0">
      <selection activeCell="I12" sqref="I12"/>
    </sheetView>
  </sheetViews>
  <sheetFormatPr baseColWidth="10" defaultColWidth="11.42578125" defaultRowHeight="15" x14ac:dyDescent="0.25"/>
  <cols>
    <col min="1" max="1" width="18" customWidth="1"/>
    <col min="2" max="2" width="7" customWidth="1"/>
    <col min="3" max="3" width="6.28515625" customWidth="1"/>
    <col min="4" max="4" width="15.42578125" customWidth="1"/>
    <col min="5" max="5" width="16.42578125" customWidth="1"/>
    <col min="6" max="10" width="17.85546875" customWidth="1"/>
    <col min="11" max="11" width="15.7109375" customWidth="1"/>
  </cols>
  <sheetData>
    <row r="1" spans="1:11" x14ac:dyDescent="0.25">
      <c r="A1" s="1" t="s">
        <v>29</v>
      </c>
      <c r="B1" s="1"/>
    </row>
    <row r="2" spans="1:11" x14ac:dyDescent="0.25">
      <c r="A2" s="3">
        <v>89832447</v>
      </c>
      <c r="B2" s="1"/>
    </row>
    <row r="3" spans="1:11" x14ac:dyDescent="0.25">
      <c r="A3" s="1"/>
      <c r="B3" s="1"/>
    </row>
    <row r="4" spans="1:11" x14ac:dyDescent="0.25">
      <c r="A4" s="1" t="s">
        <v>35</v>
      </c>
      <c r="B4" s="1"/>
    </row>
    <row r="5" spans="1:11" x14ac:dyDescent="0.25">
      <c r="A5" s="1"/>
      <c r="B5" s="2"/>
    </row>
    <row r="6" spans="1:11" x14ac:dyDescent="0.25">
      <c r="A6" s="1"/>
      <c r="B6" s="2"/>
    </row>
    <row r="7" spans="1:11" x14ac:dyDescent="0.25">
      <c r="A7" s="1"/>
      <c r="B7" s="1"/>
    </row>
    <row r="8" spans="1:11" x14ac:dyDescent="0.25">
      <c r="A8" s="1" t="s">
        <v>0</v>
      </c>
      <c r="B8" s="1"/>
      <c r="C8" s="1"/>
      <c r="D8" s="1" t="s">
        <v>17</v>
      </c>
      <c r="E8" s="1" t="s">
        <v>30</v>
      </c>
      <c r="F8" s="1" t="s">
        <v>32</v>
      </c>
      <c r="G8" s="1" t="s">
        <v>33</v>
      </c>
      <c r="H8" s="1" t="s">
        <v>34</v>
      </c>
      <c r="I8" s="1" t="s">
        <v>31</v>
      </c>
      <c r="J8" s="1" t="s">
        <v>37</v>
      </c>
      <c r="K8" s="1" t="s">
        <v>22</v>
      </c>
    </row>
    <row r="9" spans="1:11" x14ac:dyDescent="0.25">
      <c r="A9" s="9" t="s">
        <v>1</v>
      </c>
      <c r="B9" s="9" t="s">
        <v>2</v>
      </c>
      <c r="C9" s="9"/>
      <c r="D9" s="10">
        <v>7500000</v>
      </c>
      <c r="E9" s="10"/>
      <c r="F9" s="11"/>
      <c r="G9" s="10">
        <f>1890000+2654800</f>
        <v>4544800</v>
      </c>
      <c r="H9" s="13"/>
      <c r="I9" s="13"/>
      <c r="J9" s="13"/>
      <c r="K9" s="12"/>
    </row>
    <row r="10" spans="1:11" x14ac:dyDescent="0.25">
      <c r="A10" s="9" t="s">
        <v>21</v>
      </c>
      <c r="B10" s="9" t="s">
        <v>2</v>
      </c>
      <c r="C10" s="9"/>
      <c r="D10" s="10">
        <v>11500000</v>
      </c>
      <c r="E10" s="10"/>
      <c r="F10" s="11"/>
      <c r="G10" s="11"/>
      <c r="H10" s="11">
        <v>386320</v>
      </c>
      <c r="I10" s="11">
        <v>0</v>
      </c>
      <c r="J10" s="11">
        <v>205900</v>
      </c>
      <c r="K10" s="10"/>
    </row>
    <row r="11" spans="1:11" x14ac:dyDescent="0.25">
      <c r="A11" s="9" t="s">
        <v>3</v>
      </c>
      <c r="B11" s="9" t="s">
        <v>4</v>
      </c>
      <c r="C11" s="9"/>
      <c r="D11" s="10">
        <v>10325000</v>
      </c>
      <c r="E11" s="10">
        <v>2915824</v>
      </c>
      <c r="F11" s="11"/>
      <c r="G11" s="11"/>
      <c r="H11" s="11">
        <f>538089+693056</f>
        <v>1231145</v>
      </c>
      <c r="I11" s="11">
        <f>2315789+994152</f>
        <v>3309941</v>
      </c>
      <c r="J11" s="11"/>
      <c r="K11" s="10"/>
    </row>
    <row r="12" spans="1:11" x14ac:dyDescent="0.25">
      <c r="A12" s="9" t="s">
        <v>5</v>
      </c>
      <c r="B12" s="9" t="s">
        <v>6</v>
      </c>
      <c r="C12" s="9"/>
      <c r="D12" s="10">
        <v>18109000</v>
      </c>
      <c r="E12" s="10">
        <v>12382816</v>
      </c>
      <c r="F12" s="11"/>
      <c r="G12" s="11">
        <v>74400</v>
      </c>
      <c r="H12" s="11">
        <f>3320000+204323</f>
        <v>3524323</v>
      </c>
      <c r="I12" s="11"/>
      <c r="J12" s="11"/>
      <c r="K12" s="10"/>
    </row>
    <row r="13" spans="1:11" x14ac:dyDescent="0.25">
      <c r="A13" s="9" t="s">
        <v>8</v>
      </c>
      <c r="B13" s="9" t="s">
        <v>7</v>
      </c>
      <c r="C13" s="9"/>
      <c r="D13" s="10">
        <v>11144000</v>
      </c>
      <c r="E13" s="10">
        <v>4514618</v>
      </c>
      <c r="F13" s="11">
        <f>701754+452196</f>
        <v>1153950</v>
      </c>
      <c r="G13" s="11">
        <v>701754</v>
      </c>
      <c r="H13" s="11">
        <v>701754</v>
      </c>
      <c r="I13" s="11">
        <f>701754+514620</f>
        <v>1216374</v>
      </c>
      <c r="J13" s="11"/>
      <c r="K13" s="10"/>
    </row>
    <row r="14" spans="1:11" x14ac:dyDescent="0.25">
      <c r="A14" s="9" t="s">
        <v>9</v>
      </c>
      <c r="B14" s="9" t="s">
        <v>10</v>
      </c>
      <c r="C14" s="9"/>
      <c r="D14" s="10">
        <v>15150000</v>
      </c>
      <c r="E14" s="10">
        <f>5880341-H14</f>
        <v>3201570</v>
      </c>
      <c r="F14" s="11">
        <v>0</v>
      </c>
      <c r="G14" s="11"/>
      <c r="H14" s="11">
        <f>1945650+195300+537821</f>
        <v>2678771</v>
      </c>
      <c r="I14" s="11"/>
      <c r="J14" s="11"/>
      <c r="K14" s="10"/>
    </row>
    <row r="15" spans="1:11" x14ac:dyDescent="0.25">
      <c r="A15" s="9" t="s">
        <v>12</v>
      </c>
      <c r="B15" s="9" t="s">
        <v>11</v>
      </c>
      <c r="C15" s="13"/>
      <c r="D15" s="10">
        <v>17507000</v>
      </c>
      <c r="E15" s="10">
        <v>7980551</v>
      </c>
      <c r="F15" s="10">
        <v>0</v>
      </c>
      <c r="G15" s="10"/>
      <c r="H15" s="10"/>
      <c r="I15" s="10"/>
      <c r="J15" s="10"/>
      <c r="K15" s="10"/>
    </row>
    <row r="16" spans="1:11" x14ac:dyDescent="0.25">
      <c r="A16" s="9" t="s">
        <v>13</v>
      </c>
      <c r="B16" s="9" t="s">
        <v>14</v>
      </c>
      <c r="C16" s="13"/>
      <c r="D16" s="10">
        <v>9724000</v>
      </c>
      <c r="E16" s="10">
        <v>0</v>
      </c>
      <c r="F16" s="10">
        <v>0</v>
      </c>
      <c r="G16" s="10"/>
      <c r="H16" s="10"/>
      <c r="I16" s="10"/>
      <c r="J16" s="10"/>
      <c r="K16" s="10"/>
    </row>
    <row r="17" spans="1:11" x14ac:dyDescent="0.25">
      <c r="A17" s="9" t="s">
        <v>15</v>
      </c>
      <c r="B17" s="9" t="s">
        <v>16</v>
      </c>
      <c r="C17" s="13"/>
      <c r="D17" s="10">
        <v>6500000</v>
      </c>
      <c r="E17" s="10">
        <v>6489633</v>
      </c>
      <c r="F17" s="10" t="s">
        <v>18</v>
      </c>
      <c r="G17" s="10"/>
      <c r="H17" s="10"/>
      <c r="I17" s="10"/>
      <c r="J17" s="10"/>
      <c r="K17" s="10"/>
    </row>
    <row r="18" spans="1:11" x14ac:dyDescent="0.25">
      <c r="A18" s="9" t="s">
        <v>20</v>
      </c>
      <c r="B18" s="9" t="s">
        <v>19</v>
      </c>
      <c r="C18" s="13"/>
      <c r="D18" s="10">
        <v>6856000</v>
      </c>
      <c r="E18" s="13" t="s">
        <v>18</v>
      </c>
      <c r="F18" s="13" t="s">
        <v>18</v>
      </c>
      <c r="G18" s="13"/>
      <c r="H18" s="13"/>
      <c r="I18" s="13"/>
      <c r="J18" s="13"/>
      <c r="K18" s="10"/>
    </row>
    <row r="19" spans="1:11" x14ac:dyDescent="0.25">
      <c r="A19" s="9" t="s">
        <v>24</v>
      </c>
      <c r="B19" s="14" t="s">
        <v>25</v>
      </c>
      <c r="C19" s="15"/>
      <c r="D19" s="10" t="s">
        <v>18</v>
      </c>
      <c r="E19" s="10">
        <v>12501897</v>
      </c>
      <c r="F19" s="10"/>
      <c r="G19" s="10">
        <v>12501897</v>
      </c>
      <c r="H19" s="10">
        <v>521220</v>
      </c>
      <c r="I19" s="10"/>
      <c r="J19" s="10"/>
      <c r="K19" s="10"/>
    </row>
    <row r="20" spans="1:11" x14ac:dyDescent="0.25">
      <c r="A20" s="9" t="s">
        <v>26</v>
      </c>
      <c r="B20" s="9" t="s">
        <v>27</v>
      </c>
      <c r="C20" s="16"/>
      <c r="D20" s="10" t="s">
        <v>18</v>
      </c>
      <c r="E20" s="10"/>
      <c r="F20" s="10"/>
      <c r="G20" s="10">
        <v>2624475</v>
      </c>
      <c r="H20" s="10"/>
      <c r="I20" s="10"/>
      <c r="J20" s="10"/>
      <c r="K20" s="10"/>
    </row>
    <row r="21" spans="1:11" ht="15.75" thickBot="1" x14ac:dyDescent="0.3">
      <c r="B21" s="6" t="s">
        <v>23</v>
      </c>
      <c r="C21" s="7"/>
      <c r="D21" s="8">
        <f>SUM(D9:D18)</f>
        <v>114315000</v>
      </c>
      <c r="E21" s="8">
        <f>SUM(E9:E20)</f>
        <v>49986909</v>
      </c>
      <c r="F21" s="8">
        <f>SUM(F9:F20)</f>
        <v>1153950</v>
      </c>
      <c r="G21" s="8">
        <f>SUM(G9:G20)</f>
        <v>20447326</v>
      </c>
      <c r="H21" s="8">
        <f>SUM(H9:H20)</f>
        <v>9043533</v>
      </c>
      <c r="I21" s="8">
        <f>SUM(I9:I20)</f>
        <v>4526315</v>
      </c>
      <c r="J21" s="8"/>
      <c r="K21" s="8">
        <f>SUM(K9:K18)</f>
        <v>0</v>
      </c>
    </row>
    <row r="23" spans="1:11" x14ac:dyDescent="0.25">
      <c r="B23" s="4" t="s">
        <v>28</v>
      </c>
      <c r="F23" s="5">
        <f>A2-F21-G21-H21-I21</f>
        <v>54661323</v>
      </c>
      <c r="G23" s="5"/>
      <c r="H23" s="5"/>
      <c r="I23" s="5"/>
      <c r="J23" s="5"/>
      <c r="K23" s="5"/>
    </row>
    <row r="27" spans="1:11" x14ac:dyDescent="0.25">
      <c r="F27" s="17"/>
      <c r="G27" s="17"/>
      <c r="H27" s="17"/>
      <c r="I27" s="17"/>
      <c r="J27" s="17"/>
    </row>
    <row r="33" spans="6:6" x14ac:dyDescent="0.25">
      <c r="F33" t="s">
        <v>36</v>
      </c>
    </row>
  </sheetData>
  <pageMargins left="0.70866141732283472" right="0.70866141732283472" top="0.74803149606299213" bottom="0.74803149606299213" header="0.31496062992125984" footer="0.31496062992125984"/>
  <pageSetup scale="8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AC35-7A1D-4633-8D1A-20FC4F3F4ECB}">
  <dimension ref="A1:L34"/>
  <sheetViews>
    <sheetView tabSelected="1" topLeftCell="D4" zoomScale="90" zoomScaleNormal="90" workbookViewId="0">
      <selection activeCell="L10" sqref="L10"/>
    </sheetView>
  </sheetViews>
  <sheetFormatPr baseColWidth="10" defaultColWidth="11.42578125" defaultRowHeight="15" x14ac:dyDescent="0.25"/>
  <cols>
    <col min="1" max="1" width="18" customWidth="1"/>
    <col min="2" max="2" width="7" customWidth="1"/>
    <col min="3" max="3" width="37.42578125" customWidth="1"/>
    <col min="4" max="4" width="15.42578125" customWidth="1"/>
    <col min="5" max="5" width="16.42578125" customWidth="1"/>
    <col min="6" max="10" width="17.85546875" customWidth="1"/>
    <col min="11" max="11" width="15.7109375" customWidth="1"/>
  </cols>
  <sheetData>
    <row r="1" spans="1:12" x14ac:dyDescent="0.25">
      <c r="A1" s="1" t="s">
        <v>29</v>
      </c>
      <c r="B1" s="1"/>
    </row>
    <row r="2" spans="1:12" x14ac:dyDescent="0.25">
      <c r="A2" s="3">
        <v>89832447</v>
      </c>
      <c r="B2" s="1"/>
    </row>
    <row r="3" spans="1:12" x14ac:dyDescent="0.25">
      <c r="A3" s="1"/>
      <c r="B3" s="1"/>
    </row>
    <row r="4" spans="1:12" x14ac:dyDescent="0.25">
      <c r="A4" s="1" t="s">
        <v>35</v>
      </c>
      <c r="B4" s="1"/>
    </row>
    <row r="5" spans="1:12" x14ac:dyDescent="0.25">
      <c r="A5" s="1"/>
      <c r="B5" s="2"/>
    </row>
    <row r="6" spans="1:12" x14ac:dyDescent="0.25">
      <c r="A6" s="1"/>
      <c r="B6" s="2"/>
    </row>
    <row r="7" spans="1:12" x14ac:dyDescent="0.25">
      <c r="A7" s="1"/>
      <c r="B7" s="1"/>
    </row>
    <row r="8" spans="1:12" x14ac:dyDescent="0.25">
      <c r="A8" s="1" t="s">
        <v>0</v>
      </c>
      <c r="B8" s="1"/>
      <c r="C8" s="1"/>
      <c r="D8" s="1" t="s">
        <v>17</v>
      </c>
      <c r="E8" s="1" t="s">
        <v>30</v>
      </c>
      <c r="F8" s="1" t="s">
        <v>32</v>
      </c>
      <c r="G8" s="1" t="s">
        <v>33</v>
      </c>
      <c r="H8" s="1" t="s">
        <v>34</v>
      </c>
      <c r="I8" s="1" t="s">
        <v>31</v>
      </c>
      <c r="J8" s="1" t="s">
        <v>37</v>
      </c>
      <c r="K8" s="1" t="s">
        <v>38</v>
      </c>
      <c r="L8" s="1" t="s">
        <v>39</v>
      </c>
    </row>
    <row r="9" spans="1:12" x14ac:dyDescent="0.25">
      <c r="A9" s="9" t="s">
        <v>1</v>
      </c>
      <c r="B9" s="9" t="s">
        <v>2</v>
      </c>
      <c r="C9" s="9"/>
      <c r="D9" s="10">
        <v>7500000</v>
      </c>
      <c r="E9" s="10"/>
      <c r="F9" s="11"/>
      <c r="G9" s="10">
        <f>1890000+2654800</f>
        <v>4544800</v>
      </c>
      <c r="H9" s="13"/>
      <c r="I9" s="13"/>
      <c r="J9" s="13"/>
      <c r="K9" s="12">
        <v>0</v>
      </c>
      <c r="L9" s="18">
        <v>1891456</v>
      </c>
    </row>
    <row r="10" spans="1:12" x14ac:dyDescent="0.25">
      <c r="A10" s="9" t="s">
        <v>21</v>
      </c>
      <c r="B10" s="9" t="s">
        <v>2</v>
      </c>
      <c r="C10" s="9"/>
      <c r="D10" s="10">
        <v>11500000</v>
      </c>
      <c r="E10" s="10"/>
      <c r="F10" s="11"/>
      <c r="G10" s="11"/>
      <c r="H10" s="11">
        <v>386320</v>
      </c>
      <c r="I10" s="11">
        <v>0</v>
      </c>
      <c r="J10" s="11">
        <v>205900</v>
      </c>
      <c r="K10" s="10">
        <v>0</v>
      </c>
      <c r="L10" s="10">
        <f>3000000+205900</f>
        <v>3205900</v>
      </c>
    </row>
    <row r="11" spans="1:12" x14ac:dyDescent="0.25">
      <c r="A11" s="9" t="s">
        <v>3</v>
      </c>
      <c r="B11" s="9" t="s">
        <v>4</v>
      </c>
      <c r="C11" s="9"/>
      <c r="D11" s="10">
        <v>10325000</v>
      </c>
      <c r="E11" s="10">
        <v>2915824</v>
      </c>
      <c r="F11" s="11"/>
      <c r="G11" s="11"/>
      <c r="H11" s="11">
        <f>538089+693056</f>
        <v>1231145</v>
      </c>
      <c r="I11" s="11">
        <f>2315789+994152</f>
        <v>3309941</v>
      </c>
      <c r="J11" s="11">
        <v>100500</v>
      </c>
      <c r="K11" s="10"/>
      <c r="L11" s="10"/>
    </row>
    <row r="12" spans="1:12" x14ac:dyDescent="0.25">
      <c r="A12" s="9" t="s">
        <v>5</v>
      </c>
      <c r="B12" s="9" t="s">
        <v>6</v>
      </c>
      <c r="C12" s="9"/>
      <c r="D12" s="10">
        <v>18109000</v>
      </c>
      <c r="E12" s="10">
        <v>12382816</v>
      </c>
      <c r="F12" s="11"/>
      <c r="G12" s="11">
        <v>74400</v>
      </c>
      <c r="H12" s="11">
        <f>3320000+204323</f>
        <v>3524323</v>
      </c>
      <c r="I12" s="11"/>
      <c r="J12" s="11">
        <v>12000</v>
      </c>
      <c r="K12" s="10"/>
      <c r="L12" s="10"/>
    </row>
    <row r="13" spans="1:12" x14ac:dyDescent="0.25">
      <c r="A13" s="9" t="s">
        <v>8</v>
      </c>
      <c r="B13" s="9" t="s">
        <v>7</v>
      </c>
      <c r="C13" s="9"/>
      <c r="D13" s="10">
        <v>11144000</v>
      </c>
      <c r="E13" s="10">
        <v>4514618</v>
      </c>
      <c r="F13" s="11">
        <f>701754+452196</f>
        <v>1153950</v>
      </c>
      <c r="G13" s="11">
        <v>701754</v>
      </c>
      <c r="H13" s="11">
        <v>701754</v>
      </c>
      <c r="I13" s="11">
        <f>701754+514620</f>
        <v>1216374</v>
      </c>
      <c r="J13" s="11"/>
      <c r="K13" s="10">
        <f>701754+701754</f>
        <v>1403508</v>
      </c>
      <c r="L13" s="10">
        <f>701754+701754+701754+701754</f>
        <v>2807016</v>
      </c>
    </row>
    <row r="14" spans="1:12" x14ac:dyDescent="0.25">
      <c r="A14" s="9" t="s">
        <v>9</v>
      </c>
      <c r="B14" s="9" t="s">
        <v>10</v>
      </c>
      <c r="C14" s="9"/>
      <c r="D14" s="10">
        <v>15150000</v>
      </c>
      <c r="E14" s="10">
        <f>5880341-H14</f>
        <v>3201570</v>
      </c>
      <c r="F14" s="11">
        <v>0</v>
      </c>
      <c r="G14" s="11"/>
      <c r="H14" s="11">
        <f>1945650+195300+537821</f>
        <v>2678771</v>
      </c>
      <c r="I14" s="11"/>
      <c r="J14" s="11"/>
      <c r="K14" s="10">
        <v>218500</v>
      </c>
      <c r="L14" s="10"/>
    </row>
    <row r="15" spans="1:12" x14ac:dyDescent="0.25">
      <c r="A15" s="9" t="s">
        <v>12</v>
      </c>
      <c r="B15" s="9" t="s">
        <v>11</v>
      </c>
      <c r="C15" s="13"/>
      <c r="D15" s="10">
        <v>17507000</v>
      </c>
      <c r="E15" s="10">
        <v>7980551</v>
      </c>
      <c r="F15" s="10">
        <v>0</v>
      </c>
      <c r="G15" s="10"/>
      <c r="H15" s="10"/>
      <c r="I15" s="10"/>
      <c r="J15" s="10"/>
      <c r="K15" s="10"/>
      <c r="L15" s="10"/>
    </row>
    <row r="16" spans="1:12" x14ac:dyDescent="0.25">
      <c r="A16" s="9" t="s">
        <v>13</v>
      </c>
      <c r="B16" s="9" t="s">
        <v>14</v>
      </c>
      <c r="C16" s="13"/>
      <c r="D16" s="10">
        <v>9724000</v>
      </c>
      <c r="E16" s="10">
        <v>0</v>
      </c>
      <c r="F16" s="10">
        <v>0</v>
      </c>
      <c r="G16" s="10"/>
      <c r="H16" s="10"/>
      <c r="I16" s="10"/>
      <c r="J16" s="10"/>
      <c r="K16" s="10"/>
      <c r="L16" s="10"/>
    </row>
    <row r="17" spans="1:12" x14ac:dyDescent="0.25">
      <c r="A17" s="9" t="s">
        <v>15</v>
      </c>
      <c r="B17" s="9" t="s">
        <v>16</v>
      </c>
      <c r="C17" s="13"/>
      <c r="D17" s="10">
        <v>6500000</v>
      </c>
      <c r="E17" s="10">
        <v>6489633</v>
      </c>
      <c r="F17" s="10" t="s">
        <v>18</v>
      </c>
      <c r="G17" s="10"/>
      <c r="H17" s="10"/>
      <c r="I17" s="10"/>
      <c r="J17" s="10"/>
      <c r="K17" s="10"/>
      <c r="L17" s="10"/>
    </row>
    <row r="18" spans="1:12" x14ac:dyDescent="0.25">
      <c r="A18" s="9" t="s">
        <v>20</v>
      </c>
      <c r="B18" s="9" t="s">
        <v>19</v>
      </c>
      <c r="C18" s="13"/>
      <c r="D18" s="10">
        <v>6856000</v>
      </c>
      <c r="E18" s="13" t="s">
        <v>18</v>
      </c>
      <c r="F18" s="13" t="s">
        <v>18</v>
      </c>
      <c r="G18" s="13"/>
      <c r="H18" s="13"/>
      <c r="I18" s="13"/>
      <c r="J18" s="13"/>
      <c r="K18" s="10"/>
      <c r="L18" s="10"/>
    </row>
    <row r="19" spans="1:12" x14ac:dyDescent="0.25">
      <c r="A19" s="9"/>
      <c r="B19" s="14"/>
      <c r="C19" s="15"/>
      <c r="D19" s="10"/>
      <c r="E19" s="13"/>
      <c r="F19" s="13"/>
      <c r="G19" s="13"/>
      <c r="H19" s="13"/>
      <c r="I19" s="13"/>
      <c r="J19" s="13"/>
      <c r="K19" s="10"/>
      <c r="L19" s="10"/>
    </row>
    <row r="20" spans="1:12" x14ac:dyDescent="0.25">
      <c r="A20" s="9" t="s">
        <v>24</v>
      </c>
      <c r="B20" s="14" t="s">
        <v>25</v>
      </c>
      <c r="C20" s="15"/>
      <c r="D20" s="10" t="s">
        <v>18</v>
      </c>
      <c r="E20" s="10">
        <v>12501897</v>
      </c>
      <c r="F20" s="10"/>
      <c r="G20" s="10">
        <v>12501897</v>
      </c>
      <c r="H20" s="10">
        <v>521220</v>
      </c>
      <c r="I20" s="10"/>
      <c r="J20" s="10">
        <v>1299989</v>
      </c>
      <c r="K20" s="10">
        <v>29892919</v>
      </c>
      <c r="L20" s="10"/>
    </row>
    <row r="21" spans="1:12" x14ac:dyDescent="0.25">
      <c r="A21" s="9" t="s">
        <v>26</v>
      </c>
      <c r="B21" s="9" t="s">
        <v>27</v>
      </c>
      <c r="C21" s="16"/>
      <c r="D21" s="10" t="s">
        <v>18</v>
      </c>
      <c r="E21" s="10"/>
      <c r="F21" s="10"/>
      <c r="G21" s="10">
        <v>2624475</v>
      </c>
      <c r="H21" s="10"/>
      <c r="I21" s="10"/>
      <c r="J21" s="10">
        <v>15490751</v>
      </c>
      <c r="K21" s="10"/>
      <c r="L21" s="10"/>
    </row>
    <row r="22" spans="1:12" ht="15.75" thickBot="1" x14ac:dyDescent="0.3">
      <c r="B22" s="6" t="s">
        <v>23</v>
      </c>
      <c r="C22" s="7"/>
      <c r="D22" s="8">
        <f>SUM(D9:D18)</f>
        <v>114315000</v>
      </c>
      <c r="E22" s="8">
        <f t="shared" ref="E22:L22" si="0">SUM(E9:E21)</f>
        <v>49986909</v>
      </c>
      <c r="F22" s="8">
        <f t="shared" si="0"/>
        <v>1153950</v>
      </c>
      <c r="G22" s="8">
        <f t="shared" si="0"/>
        <v>20447326</v>
      </c>
      <c r="H22" s="8">
        <f t="shared" si="0"/>
        <v>9043533</v>
      </c>
      <c r="I22" s="8">
        <f t="shared" si="0"/>
        <v>4526315</v>
      </c>
      <c r="J22" s="8">
        <f t="shared" si="0"/>
        <v>17109140</v>
      </c>
      <c r="K22" s="8">
        <f t="shared" si="0"/>
        <v>31514927</v>
      </c>
      <c r="L22" s="8">
        <f t="shared" si="0"/>
        <v>7904372</v>
      </c>
    </row>
    <row r="24" spans="1:12" x14ac:dyDescent="0.25">
      <c r="B24" s="4" t="s">
        <v>28</v>
      </c>
      <c r="F24" s="5">
        <f>A2-F22-G22-H22-I22-J22-K22-L22</f>
        <v>-1867116</v>
      </c>
      <c r="G24" s="5"/>
      <c r="H24" s="5"/>
      <c r="I24" s="5"/>
      <c r="J24" s="5"/>
      <c r="K24" s="5"/>
    </row>
    <row r="28" spans="1:12" x14ac:dyDescent="0.25">
      <c r="F28" s="17"/>
      <c r="G28" s="17"/>
      <c r="H28" s="17"/>
      <c r="I28" s="17"/>
      <c r="J28" s="17"/>
    </row>
    <row r="34" spans="6:6" x14ac:dyDescent="0.25">
      <c r="F34" t="s">
        <v>36</v>
      </c>
    </row>
  </sheetData>
  <pageMargins left="0.70866141732283472" right="0.70866141732283472" top="0.74803149606299213" bottom="0.74803149606299213" header="0.31496062992125984" footer="0.31496062992125984"/>
  <pageSetup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Concha</dc:creator>
  <cp:lastModifiedBy>Héctor Concha</cp:lastModifiedBy>
  <cp:lastPrinted>2025-10-15T14:37:16Z</cp:lastPrinted>
  <dcterms:created xsi:type="dcterms:W3CDTF">2025-10-13T19:41:16Z</dcterms:created>
  <dcterms:modified xsi:type="dcterms:W3CDTF">2026-03-24T19:56:41Z</dcterms:modified>
</cp:coreProperties>
</file>